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Budget" sheetId="1" state="visible" r:id="rId3"/>
  </sheets>
  <definedNames>
    <definedName function="false" hidden="false" localSheetId="0" name="_xlnm.Print_Titles" vbProcedure="false">'Monthly Budget'!$4:$4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<sst xmlns="http://schemas.openxmlformats.org/spreadsheetml/2006/main" count="42" uniqueCount="42">
  <si>
    <t xml:space="preserve">Personal Monthly Budget Tracker</t>
  </si>
  <si>
    <t xml:space="preserve">Enter your budgeted and actual amounts in blue cells. Formulas calculate the rest.</t>
  </si>
  <si>
    <t xml:space="preserve">Category</t>
  </si>
  <si>
    <t xml:space="preserve">Budgeted ($)</t>
  </si>
  <si>
    <t xml:space="preserve">Actual ($)</t>
  </si>
  <si>
    <t xml:space="preserve">Difference ($)</t>
  </si>
  <si>
    <t xml:space="preserve">Status</t>
  </si>
  <si>
    <t xml:space="preserve">INCOME</t>
  </si>
  <si>
    <t xml:space="preserve">Salary</t>
  </si>
  <si>
    <t xml:space="preserve">Freelance / Side Income</t>
  </si>
  <si>
    <t xml:space="preserve">Other Income</t>
  </si>
  <si>
    <t xml:space="preserve">  INCOME TOTAL</t>
  </si>
  <si>
    <t xml:space="preserve">HOUSING</t>
  </si>
  <si>
    <t xml:space="preserve">Rent / Mortgage</t>
  </si>
  <si>
    <t xml:space="preserve">Utilities</t>
  </si>
  <si>
    <t xml:space="preserve">Internet / Phone</t>
  </si>
  <si>
    <t xml:space="preserve">  HOUSING TOTAL</t>
  </si>
  <si>
    <t xml:space="preserve">TRANSPORTATION</t>
  </si>
  <si>
    <t xml:space="preserve">Car Payment / Transit</t>
  </si>
  <si>
    <t xml:space="preserve">Gas / Fuel</t>
  </si>
  <si>
    <t xml:space="preserve">Insurance</t>
  </si>
  <si>
    <t xml:space="preserve">  TRANSPORTATION TOTAL</t>
  </si>
  <si>
    <t xml:space="preserve">FOOD</t>
  </si>
  <si>
    <t xml:space="preserve">Groceries</t>
  </si>
  <si>
    <t xml:space="preserve">Dining Out</t>
  </si>
  <si>
    <t xml:space="preserve">  FOOD TOTAL</t>
  </si>
  <si>
    <t xml:space="preserve">PERSONAL</t>
  </si>
  <si>
    <t xml:space="preserve">Health / Gym</t>
  </si>
  <si>
    <t xml:space="preserve">Subscriptions</t>
  </si>
  <si>
    <t xml:space="preserve">Clothing</t>
  </si>
  <si>
    <t xml:space="preserve">Entertainment</t>
  </si>
  <si>
    <t xml:space="preserve">  PERSONAL TOTAL</t>
  </si>
  <si>
    <t xml:space="preserve">SAVINGS &amp; DEBT</t>
  </si>
  <si>
    <t xml:space="preserve">Emergency Fund</t>
  </si>
  <si>
    <t xml:space="preserve">Retirement (401k/IRA)</t>
  </si>
  <si>
    <t xml:space="preserve">Debt Payments</t>
  </si>
  <si>
    <t xml:space="preserve">  SAVINGS &amp; DEBT TOTAL</t>
  </si>
  <si>
    <t xml:space="preserve">SUMMARY</t>
  </si>
  <si>
    <t xml:space="preserve">Total Income</t>
  </si>
  <si>
    <t xml:space="preserve">Total Expenses</t>
  </si>
  <si>
    <t xml:space="preserve">Net Savings</t>
  </si>
  <si>
    <t xml:space="preserve">Savings Rate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</si>
</sst>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&quot;($&quot;#,##0\);\-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C3E50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27AE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CF0F1"/>
        <bgColor rgb="FFEAFAF1"/>
      </patternFill>
    </fill>
    <fill>
      <patternFill patternType="solid">
        <fgColor rgb="FFD5F5E3"/>
        <bgColor rgb="FFEAFAF1"/>
      </patternFill>
    </fill>
    <fill>
      <patternFill patternType="solid">
        <fgColor rgb="FFEAFAF1"/>
        <bgColor rgb="FFECF0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7F8C8D"/>
      <rgbColor rgb="FF9999FF"/>
      <rgbColor rgb="FF993366"/>
      <rgbColor rgb="FFEAFAF1"/>
      <rgbColor rgb="FFECF0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/>
      <c r="C5" s="4"/>
      <c r="D5" s="4"/>
      <c r="E5" s="4"/>
    </row>
    <row r="6" customFormat="false" ht="15" hidden="false" customHeight="false" outlineLevel="0" collapsed="false">
      <c r="A6" s="5" t="s">
        <v>8</v>
      </c>
      <c r="B6" s="6" t="n">
        <v>5000</v>
      </c>
      <c r="C6" s="6" t="n">
        <v>5000</v>
      </c>
      <c r="D6" s="7" t="n">
        <f aca="false">C6-B6</f>
        <v>0</v>
      </c>
      <c r="E6" s="8" t="str">
        <f aca="false">IF(C6&gt;=B6,"✓ On Track","⚠ Under")</f>
        <v>✓ On Track</v>
      </c>
    </row>
    <row r="7" customFormat="false" ht="15" hidden="false" customHeight="false" outlineLevel="0" collapsed="false">
      <c r="A7" s="5" t="s">
        <v>9</v>
      </c>
      <c r="B7" s="6" t="n">
        <v>500</v>
      </c>
      <c r="C7" s="6" t="n">
        <v>350</v>
      </c>
      <c r="D7" s="7" t="n">
        <f aca="false">C7-B7</f>
        <v>-150</v>
      </c>
      <c r="E7" s="8" t="str">
        <f aca="false">IF(C7&gt;=B7,"✓ On Track","⚠ Under")</f>
        <v>⚠ Under</v>
      </c>
    </row>
    <row r="8" customFormat="false" ht="15" hidden="false" customHeight="false" outlineLevel="0" collapsed="false">
      <c r="A8" s="5" t="s">
        <v>10</v>
      </c>
      <c r="B8" s="6" t="n">
        <v>0</v>
      </c>
      <c r="C8" s="6" t="n">
        <v>0</v>
      </c>
      <c r="D8" s="7" t="n">
        <f aca="false">C8-B8</f>
        <v>0</v>
      </c>
      <c r="E8" s="8" t="str">
        <f aca="false">IF(C8&gt;=B8,"✓ On Track","⚠ Under")</f>
        <v>✓ On Track</v>
      </c>
    </row>
    <row r="9" customFormat="false" ht="15" hidden="false" customHeight="false" outlineLevel="0" collapsed="false">
      <c r="A9" s="9" t="s">
        <v>11</v>
      </c>
      <c r="B9" s="10" t="n">
        <f aca="false">SUM(B6:B8)</f>
        <v>5500</v>
      </c>
      <c r="C9" s="10" t="n">
        <f aca="false">SUM(C6:C8)</f>
        <v>5350</v>
      </c>
      <c r="D9" s="10" t="n">
        <f aca="false">SUM(D6:D8)</f>
        <v>-150</v>
      </c>
      <c r="E9" s="11"/>
    </row>
    <row r="11" customFormat="false" ht="15" hidden="false" customHeight="false" outlineLevel="0" collapsed="false">
      <c r="A11" s="4" t="s">
        <v>12</v>
      </c>
      <c r="B11" s="4"/>
      <c r="C11" s="4"/>
      <c r="D11" s="4"/>
      <c r="E11" s="4"/>
    </row>
    <row r="12" customFormat="false" ht="15" hidden="false" customHeight="false" outlineLevel="0" collapsed="false">
      <c r="A12" s="5" t="s">
        <v>13</v>
      </c>
      <c r="B12" s="6" t="n">
        <v>1500</v>
      </c>
      <c r="C12" s="6" t="n">
        <v>1500</v>
      </c>
      <c r="D12" s="7" t="n">
        <f aca="false">B12-C12</f>
        <v>0</v>
      </c>
      <c r="E12" s="8" t="str">
        <f aca="false">IF(C12&lt;=B12,"✓ On Track","⚠ Over")</f>
        <v>✓ On Track</v>
      </c>
    </row>
    <row r="13" customFormat="false" ht="15" hidden="false" customHeight="false" outlineLevel="0" collapsed="false">
      <c r="A13" s="5" t="s">
        <v>14</v>
      </c>
      <c r="B13" s="6" t="n">
        <v>200</v>
      </c>
      <c r="C13" s="6" t="n">
        <v>185</v>
      </c>
      <c r="D13" s="7" t="n">
        <f aca="false">B13-C13</f>
        <v>15</v>
      </c>
      <c r="E13" s="8" t="str">
        <f aca="false">IF(C13&lt;=B13,"✓ On Track","⚠ Over")</f>
        <v>✓ On Track</v>
      </c>
    </row>
    <row r="14" customFormat="false" ht="15" hidden="false" customHeight="false" outlineLevel="0" collapsed="false">
      <c r="A14" s="5" t="s">
        <v>15</v>
      </c>
      <c r="B14" s="6" t="n">
        <v>100</v>
      </c>
      <c r="C14" s="6" t="n">
        <v>100</v>
      </c>
      <c r="D14" s="7" t="n">
        <f aca="false">B14-C14</f>
        <v>0</v>
      </c>
      <c r="E14" s="8" t="str">
        <f aca="false">IF(C14&lt;=B14,"✓ On Track","⚠ Over")</f>
        <v>✓ On Track</v>
      </c>
    </row>
    <row r="15" customFormat="false" ht="15" hidden="false" customHeight="false" outlineLevel="0" collapsed="false">
      <c r="A15" s="9" t="s">
        <v>16</v>
      </c>
      <c r="B15" s="10" t="n">
        <f aca="false">SUM(B12:B14)</f>
        <v>1800</v>
      </c>
      <c r="C15" s="10" t="n">
        <f aca="false">SUM(C12:C14)</f>
        <v>1785</v>
      </c>
      <c r="D15" s="10" t="n">
        <f aca="false">SUM(D12:D14)</f>
        <v>15</v>
      </c>
      <c r="E15" s="11"/>
    </row>
    <row r="17" customFormat="false" ht="15" hidden="false" customHeight="false" outlineLevel="0" collapsed="false">
      <c r="A17" s="4" t="s">
        <v>17</v>
      </c>
      <c r="B17" s="4"/>
      <c r="C17" s="4"/>
      <c r="D17" s="4"/>
      <c r="E17" s="4"/>
    </row>
    <row r="18" customFormat="false" ht="15" hidden="false" customHeight="false" outlineLevel="0" collapsed="false">
      <c r="A18" s="5" t="s">
        <v>18</v>
      </c>
      <c r="B18" s="6" t="n">
        <v>300</v>
      </c>
      <c r="C18" s="6" t="n">
        <v>300</v>
      </c>
      <c r="D18" s="7" t="n">
        <f aca="false">B18-C18</f>
        <v>0</v>
      </c>
      <c r="E18" s="8" t="str">
        <f aca="false">IF(C18&lt;=B18,"✓ On Track","⚠ Over")</f>
        <v>✓ On Track</v>
      </c>
    </row>
    <row r="19" customFormat="false" ht="15" hidden="false" customHeight="false" outlineLevel="0" collapsed="false">
      <c r="A19" s="5" t="s">
        <v>19</v>
      </c>
      <c r="B19" s="6" t="n">
        <v>150</v>
      </c>
      <c r="C19" s="6" t="n">
        <v>170</v>
      </c>
      <c r="D19" s="7" t="n">
        <f aca="false">B19-C19</f>
        <v>-20</v>
      </c>
      <c r="E19" s="8" t="str">
        <f aca="false">IF(C19&lt;=B19,"✓ On Track","⚠ Over")</f>
        <v>⚠ Over</v>
      </c>
    </row>
    <row r="20" customFormat="false" ht="15" hidden="false" customHeight="false" outlineLevel="0" collapsed="false">
      <c r="A20" s="5" t="s">
        <v>20</v>
      </c>
      <c r="B20" s="6" t="n">
        <v>120</v>
      </c>
      <c r="C20" s="6" t="n">
        <v>120</v>
      </c>
      <c r="D20" s="7" t="n">
        <f aca="false">B20-C20</f>
        <v>0</v>
      </c>
      <c r="E20" s="8" t="str">
        <f aca="false">IF(C20&lt;=B20,"✓ On Track","⚠ Over")</f>
        <v>✓ On Track</v>
      </c>
    </row>
    <row r="21" customFormat="false" ht="15" hidden="false" customHeight="false" outlineLevel="0" collapsed="false">
      <c r="A21" s="9" t="s">
        <v>21</v>
      </c>
      <c r="B21" s="10" t="n">
        <f aca="false">SUM(B18:B20)</f>
        <v>570</v>
      </c>
      <c r="C21" s="10" t="n">
        <f aca="false">SUM(C18:C20)</f>
        <v>590</v>
      </c>
      <c r="D21" s="10" t="n">
        <f aca="false">SUM(D18:D20)</f>
        <v>-20</v>
      </c>
      <c r="E21" s="11"/>
    </row>
    <row r="23" customFormat="false" ht="15" hidden="false" customHeight="false" outlineLevel="0" collapsed="false">
      <c r="A23" s="4" t="s">
        <v>22</v>
      </c>
      <c r="B23" s="4"/>
      <c r="C23" s="4"/>
      <c r="D23" s="4"/>
      <c r="E23" s="4"/>
    </row>
    <row r="24" customFormat="false" ht="15" hidden="false" customHeight="false" outlineLevel="0" collapsed="false">
      <c r="A24" s="5" t="s">
        <v>23</v>
      </c>
      <c r="B24" s="6" t="n">
        <v>400</v>
      </c>
      <c r="C24" s="6" t="n">
        <v>430</v>
      </c>
      <c r="D24" s="7" t="n">
        <f aca="false">B24-C24</f>
        <v>-30</v>
      </c>
      <c r="E24" s="8" t="str">
        <f aca="false">IF(C24&lt;=B24,"✓ On Track","⚠ Over")</f>
        <v>⚠ Over</v>
      </c>
    </row>
    <row r="25" customFormat="false" ht="15" hidden="false" customHeight="false" outlineLevel="0" collapsed="false">
      <c r="A25" s="5" t="s">
        <v>24</v>
      </c>
      <c r="B25" s="6" t="n">
        <v>150</v>
      </c>
      <c r="C25" s="6" t="n">
        <v>200</v>
      </c>
      <c r="D25" s="7" t="n">
        <f aca="false">B25-C25</f>
        <v>-50</v>
      </c>
      <c r="E25" s="8" t="str">
        <f aca="false">IF(C25&lt;=B25,"✓ On Track","⚠ Over")</f>
        <v>⚠ Over</v>
      </c>
    </row>
    <row r="26" customFormat="false" ht="15" hidden="false" customHeight="false" outlineLevel="0" collapsed="false">
      <c r="A26" s="9" t="s">
        <v>25</v>
      </c>
      <c r="B26" s="10" t="n">
        <f aca="false">SUM(B24:B25)</f>
        <v>550</v>
      </c>
      <c r="C26" s="10" t="n">
        <f aca="false">SUM(C24:C25)</f>
        <v>630</v>
      </c>
      <c r="D26" s="10" t="n">
        <f aca="false">SUM(D24:D25)</f>
        <v>-80</v>
      </c>
      <c r="E26" s="11"/>
    </row>
    <row r="28" customFormat="false" ht="15" hidden="false" customHeight="false" outlineLevel="0" collapsed="false">
      <c r="A28" s="4" t="s">
        <v>26</v>
      </c>
      <c r="B28" s="4"/>
      <c r="C28" s="4"/>
      <c r="D28" s="4"/>
      <c r="E28" s="4"/>
    </row>
    <row r="29" customFormat="false" ht="15" hidden="false" customHeight="false" outlineLevel="0" collapsed="false">
      <c r="A29" s="5" t="s">
        <v>27</v>
      </c>
      <c r="B29" s="6" t="n">
        <v>50</v>
      </c>
      <c r="C29" s="6" t="n">
        <v>50</v>
      </c>
      <c r="D29" s="7" t="n">
        <f aca="false">B29-C29</f>
        <v>0</v>
      </c>
      <c r="E29" s="8" t="str">
        <f aca="false">IF(C29&lt;=B29,"✓ On Track","⚠ Over")</f>
        <v>✓ On Track</v>
      </c>
    </row>
    <row r="30" customFormat="false" ht="15" hidden="false" customHeight="false" outlineLevel="0" collapsed="false">
      <c r="A30" s="5" t="s">
        <v>28</v>
      </c>
      <c r="B30" s="6" t="n">
        <v>30</v>
      </c>
      <c r="C30" s="6" t="n">
        <v>45</v>
      </c>
      <c r="D30" s="7" t="n">
        <f aca="false">B30-C30</f>
        <v>-15</v>
      </c>
      <c r="E30" s="8" t="str">
        <f aca="false">IF(C30&lt;=B30,"✓ On Track","⚠ Over")</f>
        <v>⚠ Over</v>
      </c>
    </row>
    <row r="31" customFormat="false" ht="15" hidden="false" customHeight="false" outlineLevel="0" collapsed="false">
      <c r="A31" s="5" t="s">
        <v>29</v>
      </c>
      <c r="B31" s="6" t="n">
        <v>75</v>
      </c>
      <c r="C31" s="6" t="n">
        <v>0</v>
      </c>
      <c r="D31" s="7" t="n">
        <f aca="false">B31-C31</f>
        <v>75</v>
      </c>
      <c r="E31" s="8" t="str">
        <f aca="false">IF(C31&lt;=B31,"✓ On Track","⚠ Over")</f>
        <v>✓ On Track</v>
      </c>
    </row>
    <row r="32" customFormat="false" ht="15" hidden="false" customHeight="false" outlineLevel="0" collapsed="false">
      <c r="A32" s="5" t="s">
        <v>30</v>
      </c>
      <c r="B32" s="6" t="n">
        <v>100</v>
      </c>
      <c r="C32" s="6" t="n">
        <v>130</v>
      </c>
      <c r="D32" s="7" t="n">
        <f aca="false">B32-C32</f>
        <v>-30</v>
      </c>
      <c r="E32" s="8" t="str">
        <f aca="false">IF(C32&lt;=B32,"✓ On Track","⚠ Over")</f>
        <v>⚠ Over</v>
      </c>
    </row>
    <row r="33" customFormat="false" ht="15" hidden="false" customHeight="false" outlineLevel="0" collapsed="false">
      <c r="A33" s="9" t="s">
        <v>31</v>
      </c>
      <c r="B33" s="10" t="n">
        <f aca="false">SUM(B29:B32)</f>
        <v>255</v>
      </c>
      <c r="C33" s="10" t="n">
        <f aca="false">SUM(C29:C32)</f>
        <v>225</v>
      </c>
      <c r="D33" s="10" t="n">
        <f aca="false">SUM(D29:D32)</f>
        <v>30</v>
      </c>
      <c r="E33" s="11"/>
    </row>
    <row r="35" customFormat="false" ht="15" hidden="false" customHeight="false" outlineLevel="0" collapsed="false">
      <c r="A35" s="4" t="s">
        <v>32</v>
      </c>
      <c r="B35" s="4"/>
      <c r="C35" s="4"/>
      <c r="D35" s="4"/>
      <c r="E35" s="4"/>
    </row>
    <row r="36" customFormat="false" ht="15" hidden="false" customHeight="false" outlineLevel="0" collapsed="false">
      <c r="A36" s="5" t="s">
        <v>33</v>
      </c>
      <c r="B36" s="6" t="n">
        <v>300</v>
      </c>
      <c r="C36" s="6" t="n">
        <v>300</v>
      </c>
      <c r="D36" s="7" t="n">
        <f aca="false">B36-C36</f>
        <v>0</v>
      </c>
      <c r="E36" s="8" t="str">
        <f aca="false">IF(C36&lt;=B36,"✓ On Track","⚠ Over")</f>
        <v>✓ On Track</v>
      </c>
    </row>
    <row r="37" customFormat="false" ht="15" hidden="false" customHeight="false" outlineLevel="0" collapsed="false">
      <c r="A37" s="5" t="s">
        <v>34</v>
      </c>
      <c r="B37" s="6" t="n">
        <v>500</v>
      </c>
      <c r="C37" s="6" t="n">
        <v>500</v>
      </c>
      <c r="D37" s="7" t="n">
        <f aca="false">B37-C37</f>
        <v>0</v>
      </c>
      <c r="E37" s="8" t="str">
        <f aca="false">IF(C37&lt;=B37,"✓ On Track","⚠ Over")</f>
        <v>✓ On Track</v>
      </c>
    </row>
    <row r="38" customFormat="false" ht="15" hidden="false" customHeight="false" outlineLevel="0" collapsed="false">
      <c r="A38" s="5" t="s">
        <v>35</v>
      </c>
      <c r="B38" s="6" t="n">
        <v>200</v>
      </c>
      <c r="C38" s="6" t="n">
        <v>200</v>
      </c>
      <c r="D38" s="7" t="n">
        <f aca="false">B38-C38</f>
        <v>0</v>
      </c>
      <c r="E38" s="8" t="str">
        <f aca="false">IF(C38&lt;=B38,"✓ On Track","⚠ Over")</f>
        <v>✓ On Track</v>
      </c>
    </row>
    <row r="39" customFormat="false" ht="15" hidden="false" customHeight="false" outlineLevel="0" collapsed="false">
      <c r="A39" s="9" t="s">
        <v>36</v>
      </c>
      <c r="B39" s="10" t="n">
        <f aca="false">SUM(B36:B38)</f>
        <v>1000</v>
      </c>
      <c r="C39" s="10" t="n">
        <f aca="false">SUM(C36:C38)</f>
        <v>1000</v>
      </c>
      <c r="D39" s="10" t="n">
        <f aca="false">SUM(D36:D38)</f>
        <v>0</v>
      </c>
      <c r="E39" s="11"/>
    </row>
    <row r="42" customFormat="false" ht="15" hidden="false" customHeight="false" outlineLevel="0" collapsed="false">
      <c r="A42" s="12" t="s">
        <v>37</v>
      </c>
      <c r="B42" s="12"/>
      <c r="C42" s="12"/>
      <c r="D42" s="12"/>
      <c r="E42" s="12"/>
    </row>
    <row r="43" customFormat="false" ht="15" hidden="false" customHeight="false" outlineLevel="0" collapsed="false">
      <c r="A43" s="13" t="s">
        <v>38</v>
      </c>
      <c r="B43" s="14" t="n">
        <f aca="false">B9</f>
        <v>5500</v>
      </c>
      <c r="C43" s="14" t="n">
        <f aca="false">C9</f>
        <v>5350</v>
      </c>
    </row>
    <row r="44" customFormat="false" ht="15" hidden="false" customHeight="false" outlineLevel="0" collapsed="false">
      <c r="A44" s="13" t="s">
        <v>39</v>
      </c>
      <c r="B44" s="14" t="n">
        <f aca="false">B15+B21+B26+B33+B39</f>
        <v>4175</v>
      </c>
      <c r="C44" s="14" t="n">
        <f aca="false">C15+C21+C26+C33+C39</f>
        <v>4230</v>
      </c>
    </row>
    <row r="45" customFormat="false" ht="15" hidden="false" customHeight="false" outlineLevel="0" collapsed="false">
      <c r="A45" s="15" t="s">
        <v>40</v>
      </c>
      <c r="B45" s="16" t="n">
        <f aca="false">B43-B44</f>
        <v>1325</v>
      </c>
      <c r="C45" s="16" t="n">
        <f aca="false">C43-C44</f>
        <v>1120</v>
      </c>
    </row>
    <row r="46" customFormat="false" ht="15" hidden="false" customHeight="false" outlineLevel="0" collapsed="false">
      <c r="A46" s="13" t="s">
        <v>41</v>
      </c>
      <c r="B46" s="17" t="n">
        <f aca="false">IF(B43=0,0,B45/B43)</f>
        <v>0.240909090909091</v>
      </c>
      <c r="C46" s="17" t="n">
        <f aca="false">IF(C43=0,0,C45/C43)</f>
        <v>0.209345794392523</v>
      </c>
    </row>
  </sheetData>
  <mergeCells count="9">
    <mergeCell ref="A1:E1"/>
    <mergeCell ref="A2:E2"/>
    <mergeCell ref="A5:E5"/>
    <mergeCell ref="A11:E11"/>
    <mergeCell ref="A17:E17"/>
    <mergeCell ref="A23:E23"/>
    <mergeCell ref="A28:E28"/>
    <mergeCell ref="A35:E35"/>
    <mergeCell ref="A42:E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2026-04-03T02:32:16Z</dcterms:created>
  <dc:creator>openpyxl</dc:creator>
  <dc:description/>
  <dc:language>en-US</dc:language>
  <cp:lastModifiedBy/>
  <dcterms:modified xsi:type="dcterms:W3CDTF">2026-04-03T02:32:16Z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